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D4DF53BD-2D07-4F16-A746-03B75A19BCC1}" xr6:coauthVersionLast="36" xr6:coauthVersionMax="45" xr10:uidLastSave="{00000000-0000-0000-0000-000000000000}"/>
  <bookViews>
    <workbookView xWindow="5295" yWindow="675" windowWidth="19200" windowHeight="12570" xr2:uid="{00000000-000D-0000-FFFF-FFFF00000000}"/>
  </bookViews>
  <sheets>
    <sheet name="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19" i="1"/>
  <c r="E20" i="1"/>
  <c r="E21" i="1"/>
  <c r="E23" i="1"/>
  <c r="E24" i="1"/>
  <c r="E17" i="1" l="1"/>
  <c r="E4" i="1" l="1"/>
  <c r="E5" i="1"/>
  <c r="E7" i="1"/>
  <c r="E8" i="1"/>
  <c r="E9" i="1"/>
  <c r="E10" i="1"/>
  <c r="E3" i="1" l="1"/>
</calcChain>
</file>

<file path=xl/sharedStrings.xml><?xml version="1.0" encoding="utf-8"?>
<sst xmlns="http://schemas.openxmlformats.org/spreadsheetml/2006/main" count="28" uniqueCount="15">
  <si>
    <t>Mode</t>
  </si>
  <si>
    <t>Diff (%)</t>
  </si>
  <si>
    <t>Label</t>
  </si>
  <si>
    <t>OOP1</t>
  </si>
  <si>
    <t>OOP2</t>
  </si>
  <si>
    <t>OOP3</t>
  </si>
  <si>
    <t>IP1</t>
  </si>
  <si>
    <t>Original Freq. (Hz)</t>
  </si>
  <si>
    <t>Stiffened Freq. (Hz)</t>
  </si>
  <si>
    <t>Local</t>
  </si>
  <si>
    <t>T2</t>
  </si>
  <si>
    <t>OOP4</t>
  </si>
  <si>
    <t>Modal analysis, S20 LE original vs. rigid tip</t>
  </si>
  <si>
    <t>Modal analysis, S20 TE original vs. rigid tip</t>
  </si>
  <si>
    <t>T1/OOP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</si>
</sst>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K23" sqref="K23"/>
    </sheetView>
  </sheetViews>
  <sheetFormatPr defaultRowHeight="15" x14ac:dyDescent="0.25"/>
  <cols>
    <col min="1" max="1" width="5.7109375" style="2" bestFit="1" customWidth="1"/>
    <col min="2" max="2" width="7.85546875" style="5" bestFit="1" customWidth="1"/>
    <col min="3" max="3" width="16.7109375" style="3" customWidth="1"/>
    <col min="4" max="4" width="18.5703125" style="3" bestFit="1" customWidth="1"/>
    <col min="5" max="5" width="7.7109375" style="4" bestFit="1" customWidth="1"/>
    <col min="7" max="7" width="10.140625" bestFit="1" customWidth="1"/>
    <col min="8" max="9" width="15.42578125" style="7" customWidth="1"/>
  </cols>
  <sheetData>
    <row r="1" spans="1:9" x14ac:dyDescent="0.25">
      <c r="A1" s="15" t="s">
        <v>12</v>
      </c>
      <c r="B1" s="15"/>
      <c r="C1" s="15"/>
      <c r="D1" s="15"/>
      <c r="E1" s="15"/>
    </row>
    <row r="2" spans="1:9" x14ac:dyDescent="0.25">
      <c r="A2" s="8" t="s">
        <v>0</v>
      </c>
      <c r="B2" s="9" t="s">
        <v>2</v>
      </c>
      <c r="C2" s="10" t="s">
        <v>7</v>
      </c>
      <c r="D2" s="12" t="s">
        <v>8</v>
      </c>
      <c r="E2" s="11" t="s">
        <v>1</v>
      </c>
      <c r="F2" s="13"/>
    </row>
    <row r="3" spans="1:9" x14ac:dyDescent="0.25">
      <c r="A3" s="6">
        <v>1</v>
      </c>
      <c r="B3" s="5" t="s">
        <v>3</v>
      </c>
      <c r="C3" s="3">
        <v>4.1622579999999996</v>
      </c>
      <c r="D3" s="3">
        <v>4.1633459999999998</v>
      </c>
      <c r="E3" s="1">
        <f>(D3-C3)/C3*100</f>
        <v>2.6139657849181864E-2</v>
      </c>
    </row>
    <row r="4" spans="1:9" x14ac:dyDescent="0.25">
      <c r="A4" s="6">
        <v>2</v>
      </c>
      <c r="B4" s="5" t="s">
        <v>4</v>
      </c>
      <c r="C4" s="3">
        <v>28.160450000000001</v>
      </c>
      <c r="D4" s="3">
        <v>28.41874</v>
      </c>
      <c r="E4" s="1">
        <f t="shared" ref="E4:E10" si="0">(D4-C4)/C4*100</f>
        <v>0.91720835426990255</v>
      </c>
    </row>
    <row r="5" spans="1:9" x14ac:dyDescent="0.25">
      <c r="A5" s="6">
        <v>3</v>
      </c>
      <c r="B5" s="5" t="s">
        <v>14</v>
      </c>
      <c r="C5" s="3">
        <v>34.247790000000002</v>
      </c>
      <c r="D5" s="3">
        <v>36.220170000000003</v>
      </c>
      <c r="E5" s="1">
        <f t="shared" si="0"/>
        <v>5.7591453346332742</v>
      </c>
    </row>
    <row r="6" spans="1:9" x14ac:dyDescent="0.25">
      <c r="A6" s="6">
        <v>4</v>
      </c>
      <c r="B6" s="5" t="s">
        <v>9</v>
      </c>
      <c r="C6" s="3">
        <v>83.37236</v>
      </c>
      <c r="E6" s="1"/>
    </row>
    <row r="7" spans="1:9" x14ac:dyDescent="0.25">
      <c r="A7" s="6">
        <v>5</v>
      </c>
      <c r="B7" s="5" t="s">
        <v>5</v>
      </c>
      <c r="C7" s="3">
        <v>83.673429999999996</v>
      </c>
      <c r="D7" s="3">
        <v>84.141239999999996</v>
      </c>
      <c r="E7" s="1">
        <f t="shared" si="0"/>
        <v>0.55909026318151422</v>
      </c>
    </row>
    <row r="8" spans="1:9" x14ac:dyDescent="0.25">
      <c r="A8" s="6">
        <v>6</v>
      </c>
      <c r="B8" s="5" t="s">
        <v>6</v>
      </c>
      <c r="C8" s="3">
        <v>95.017970000000005</v>
      </c>
      <c r="D8" s="3">
        <v>94.909530000000004</v>
      </c>
      <c r="E8" s="1">
        <f t="shared" si="0"/>
        <v>-0.11412578062865543</v>
      </c>
    </row>
    <row r="9" spans="1:9" x14ac:dyDescent="0.25">
      <c r="A9" s="6">
        <v>7</v>
      </c>
      <c r="B9" s="5" t="s">
        <v>10</v>
      </c>
      <c r="C9" s="3">
        <v>128.72309999999999</v>
      </c>
      <c r="D9" s="3">
        <v>166.96440000000001</v>
      </c>
      <c r="E9" s="1">
        <f t="shared" si="0"/>
        <v>29.70818757472437</v>
      </c>
    </row>
    <row r="10" spans="1:9" x14ac:dyDescent="0.25">
      <c r="A10" s="6">
        <v>8</v>
      </c>
      <c r="B10" s="5" t="s">
        <v>11</v>
      </c>
      <c r="C10" s="1">
        <v>161.10830000000001</v>
      </c>
      <c r="D10" s="3">
        <v>162.7955</v>
      </c>
      <c r="E10" s="1">
        <f t="shared" si="0"/>
        <v>1.0472458588415308</v>
      </c>
      <c r="H10" s="3"/>
    </row>
    <row r="11" spans="1:9" x14ac:dyDescent="0.25">
      <c r="A11" s="6"/>
      <c r="C11" s="1"/>
      <c r="E11" s="1"/>
      <c r="H11" s="3"/>
    </row>
    <row r="12" spans="1:9" x14ac:dyDescent="0.25">
      <c r="A12" s="6"/>
      <c r="C12" s="1"/>
      <c r="E12" s="1"/>
      <c r="H12" s="3"/>
    </row>
    <row r="13" spans="1:9" x14ac:dyDescent="0.25">
      <c r="A13"/>
      <c r="B13"/>
      <c r="C13" s="1"/>
      <c r="D13" s="7"/>
      <c r="E13"/>
    </row>
    <row r="14" spans="1:9" x14ac:dyDescent="0.25">
      <c r="A14"/>
      <c r="B14"/>
      <c r="C14" s="1"/>
      <c r="D14"/>
      <c r="E14"/>
    </row>
    <row r="15" spans="1:9" x14ac:dyDescent="0.25">
      <c r="A15" s="15" t="s">
        <v>13</v>
      </c>
      <c r="B15" s="15"/>
      <c r="C15" s="15"/>
      <c r="D15" s="15"/>
      <c r="E15" s="15"/>
    </row>
    <row r="16" spans="1:9" x14ac:dyDescent="0.25">
      <c r="A16" s="14" t="s">
        <v>0</v>
      </c>
      <c r="B16" s="9" t="s">
        <v>2</v>
      </c>
      <c r="C16" s="10" t="s">
        <v>7</v>
      </c>
      <c r="D16" s="12" t="s">
        <v>8</v>
      </c>
      <c r="E16" s="11" t="s">
        <v>1</v>
      </c>
      <c r="H16"/>
      <c r="I16"/>
    </row>
    <row r="17" spans="1:9" x14ac:dyDescent="0.25">
      <c r="A17" s="6">
        <v>1</v>
      </c>
      <c r="B17" s="5" t="s">
        <v>3</v>
      </c>
      <c r="C17" s="3">
        <v>4.1363159999999999</v>
      </c>
      <c r="D17" s="3">
        <v>4.1374420000000001</v>
      </c>
      <c r="E17" s="1">
        <f>(D17-C17)/C17*100</f>
        <v>2.7222291527054087E-2</v>
      </c>
      <c r="H17"/>
      <c r="I17"/>
    </row>
    <row r="18" spans="1:9" x14ac:dyDescent="0.25">
      <c r="A18" s="6">
        <v>2</v>
      </c>
      <c r="B18" s="5" t="s">
        <v>4</v>
      </c>
      <c r="C18" s="3">
        <v>25.46228</v>
      </c>
      <c r="D18" s="3">
        <v>25.93066</v>
      </c>
      <c r="E18" s="1">
        <f t="shared" ref="E18:E24" si="1">(D18-C18)/C18*100</f>
        <v>1.8395053388777431</v>
      </c>
      <c r="H18"/>
      <c r="I18"/>
    </row>
    <row r="19" spans="1:9" x14ac:dyDescent="0.25">
      <c r="A19" s="6">
        <v>3</v>
      </c>
      <c r="B19" s="5" t="s">
        <v>14</v>
      </c>
      <c r="C19" s="3">
        <v>38.24183</v>
      </c>
      <c r="D19" s="3">
        <v>39.870440000000002</v>
      </c>
      <c r="E19" s="1">
        <f t="shared" si="1"/>
        <v>4.2587135605173758</v>
      </c>
      <c r="H19"/>
      <c r="I19"/>
    </row>
    <row r="20" spans="1:9" x14ac:dyDescent="0.25">
      <c r="A20" s="6">
        <v>4</v>
      </c>
      <c r="B20" s="5" t="s">
        <v>5</v>
      </c>
      <c r="C20" s="3">
        <v>80.737340000000003</v>
      </c>
      <c r="D20" s="3">
        <v>82.342029999999994</v>
      </c>
      <c r="E20" s="1">
        <f t="shared" si="1"/>
        <v>1.9875438056294534</v>
      </c>
      <c r="H20"/>
      <c r="I20"/>
    </row>
    <row r="21" spans="1:9" x14ac:dyDescent="0.25">
      <c r="A21" s="6">
        <v>5</v>
      </c>
      <c r="B21" s="5" t="s">
        <v>6</v>
      </c>
      <c r="C21" s="3">
        <v>85.387169999999998</v>
      </c>
      <c r="D21" s="3">
        <v>94.336979999999997</v>
      </c>
      <c r="E21" s="1">
        <f t="shared" si="1"/>
        <v>10.481445865930443</v>
      </c>
      <c r="H21"/>
      <c r="I21"/>
    </row>
    <row r="22" spans="1:9" x14ac:dyDescent="0.25">
      <c r="A22" s="6">
        <v>6</v>
      </c>
      <c r="B22" s="5" t="s">
        <v>6</v>
      </c>
      <c r="C22" s="3">
        <v>106.45010000000001</v>
      </c>
      <c r="E22" s="1"/>
      <c r="H22"/>
      <c r="I22"/>
    </row>
    <row r="23" spans="1:9" x14ac:dyDescent="0.25">
      <c r="A23" s="6">
        <v>7</v>
      </c>
      <c r="B23" s="5" t="s">
        <v>10</v>
      </c>
      <c r="C23" s="3">
        <v>124.9577</v>
      </c>
      <c r="D23" s="3">
        <v>154.4727</v>
      </c>
      <c r="E23" s="1">
        <f t="shared" si="1"/>
        <v>23.619993005633106</v>
      </c>
      <c r="H23"/>
      <c r="I23"/>
    </row>
    <row r="24" spans="1:9" x14ac:dyDescent="0.25">
      <c r="A24" s="6">
        <v>8</v>
      </c>
      <c r="B24" s="5" t="s">
        <v>11</v>
      </c>
      <c r="C24" s="1">
        <v>167.85319999999999</v>
      </c>
      <c r="D24" s="3">
        <v>175.8717</v>
      </c>
      <c r="E24" s="1">
        <f t="shared" si="1"/>
        <v>4.7770909342211034</v>
      </c>
      <c r="H24"/>
      <c r="I24"/>
    </row>
    <row r="25" spans="1:9" x14ac:dyDescent="0.25">
      <c r="E25"/>
      <c r="H25"/>
      <c r="I25"/>
    </row>
    <row r="26" spans="1:9" x14ac:dyDescent="0.25">
      <c r="E26"/>
      <c r="H26"/>
      <c r="I26"/>
    </row>
    <row r="27" spans="1:9" x14ac:dyDescent="0.25">
      <c r="D27" s="7"/>
      <c r="E27"/>
      <c r="H27"/>
      <c r="I27"/>
    </row>
    <row r="28" spans="1:9" x14ac:dyDescent="0.25">
      <c r="D28"/>
      <c r="E28"/>
      <c r="H28"/>
      <c r="I28"/>
    </row>
    <row r="29" spans="1:9" x14ac:dyDescent="0.25">
      <c r="D29"/>
      <c r="E29"/>
      <c r="H29"/>
      <c r="I29"/>
    </row>
    <row r="30" spans="1:9" x14ac:dyDescent="0.25">
      <c r="D30"/>
      <c r="E30"/>
      <c r="H30"/>
      <c r="I30"/>
    </row>
    <row r="31" spans="1:9" x14ac:dyDescent="0.25">
      <c r="D31"/>
      <c r="E31"/>
      <c r="H31"/>
      <c r="I31"/>
    </row>
    <row r="32" spans="1:9" x14ac:dyDescent="0.25">
      <c r="D32"/>
      <c r="H32"/>
      <c r="I32"/>
    </row>
    <row r="33" spans="4:4" x14ac:dyDescent="0.25">
      <c r="D33"/>
    </row>
    <row r="34" spans="4:4" x14ac:dyDescent="0.25">
      <c r="D34"/>
    </row>
  </sheetData>
  <mergeCells count="2">
    <mergeCell ref="A1:E1"/>
    <mergeCell ref="A15:E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2025-09-26T11:22:03Z</dcterms:modified>
</cp:coreProperties>
</file>